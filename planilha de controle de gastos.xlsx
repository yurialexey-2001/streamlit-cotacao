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atica_site\"/>
    </mc:Choice>
  </mc:AlternateContent>
  <xr:revisionPtr revIDLastSave="0" documentId="13_ncr:1_{6DE4F53F-2F3E-48E2-AE79-E5465E06103A}" xr6:coauthVersionLast="47" xr6:coauthVersionMax="47" xr10:uidLastSave="{00000000-0000-0000-0000-000000000000}"/>
  <bookViews>
    <workbookView xWindow="-108" yWindow="-108" windowWidth="23256" windowHeight="12456" activeTab="1" xr2:uid="{F9BE9931-60D7-4001-9DC4-B95BAA2B286A}"/>
  </bookViews>
  <sheets>
    <sheet name="RELATORIO" sheetId="1" r:id="rId1"/>
    <sheet name="REGISTROS DIARIOS" sheetId="2" r:id="rId2"/>
    <sheet name="DADOS" sheetId="3" state="hidden" r:id="rId3"/>
  </sheets>
  <definedNames>
    <definedName name="SegmentaçãodeDados_MÊ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D7" i="2"/>
  <c r="D22" i="1" l="1"/>
  <c r="I22" i="1"/>
  <c r="M22" i="1"/>
  <c r="H22" i="1"/>
  <c r="G22" i="1"/>
  <c r="L22" i="1"/>
  <c r="K22" i="1"/>
  <c r="F22" i="1"/>
  <c r="E22" i="1"/>
  <c r="N22" i="1"/>
  <c r="J22" i="1"/>
  <c r="C22" i="1"/>
  <c r="F7" i="1"/>
  <c r="F6" i="1"/>
  <c r="F8" i="1"/>
  <c r="M21" i="1"/>
  <c r="C21" i="1"/>
  <c r="I21" i="1"/>
  <c r="H21" i="1"/>
  <c r="G21" i="1"/>
  <c r="F21" i="1"/>
  <c r="E21" i="1"/>
  <c r="N21" i="1"/>
  <c r="L21" i="1"/>
  <c r="K21" i="1"/>
  <c r="J21" i="1"/>
  <c r="D21" i="1"/>
  <c r="C6" i="1"/>
  <c r="C8" i="1"/>
  <c r="C7" i="1"/>
  <c r="C23" i="1" l="1"/>
  <c r="C24" i="1" s="1"/>
  <c r="I23" i="1"/>
  <c r="F9" i="1"/>
  <c r="N23" i="1"/>
  <c r="J23" i="1"/>
  <c r="K23" i="1"/>
  <c r="D23" i="1"/>
  <c r="G23" i="1"/>
  <c r="E23" i="1"/>
  <c r="F23" i="1"/>
  <c r="L23" i="1"/>
  <c r="M23" i="1"/>
  <c r="H23" i="1"/>
  <c r="C9" i="1"/>
  <c r="D24" i="1" l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D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</author>
  </authors>
  <commentList>
    <comment ref="E2" authorId="0" shapeId="0" xr:uid="{5248272A-1268-49BC-98A1-643F2E81EFAF}">
      <text>
        <r>
          <rPr>
            <b/>
            <sz val="9"/>
            <color indexed="81"/>
            <rFont val="Segoe UI"/>
            <family val="2"/>
          </rPr>
          <t xml:space="preserve">Não edite nada nessa aba. Ela é apenas um relatório. Insira dados só na aba "REGISTROS DIARIOS"
</t>
        </r>
      </text>
    </comment>
    <comment ref="B24" authorId="0" shapeId="0" xr:uid="{04F0D0E7-238A-4E26-BAF9-0B407D6CDB89}">
      <text>
        <r>
          <rPr>
            <b/>
            <sz val="9"/>
            <color indexed="81"/>
            <rFont val="Segoe UI"/>
            <family val="2"/>
          </rPr>
          <t>Saldo do mês anterior somado ao saldo do 
mês atual</t>
        </r>
      </text>
    </comment>
  </commentList>
</comments>
</file>

<file path=xl/sharedStrings.xml><?xml version="1.0" encoding="utf-8"?>
<sst xmlns="http://schemas.openxmlformats.org/spreadsheetml/2006/main" count="68" uniqueCount="40">
  <si>
    <t>Origens</t>
  </si>
  <si>
    <t>Descrição</t>
  </si>
  <si>
    <t>SALARIO</t>
  </si>
  <si>
    <t>MÊS</t>
  </si>
  <si>
    <t>ANO</t>
  </si>
  <si>
    <t>RECEITAS</t>
  </si>
  <si>
    <t>EXTRAS</t>
  </si>
  <si>
    <t>DESPESAS</t>
  </si>
  <si>
    <t>FIXAS</t>
  </si>
  <si>
    <t>VARIAVEIS</t>
  </si>
  <si>
    <t>OUTRAS R</t>
  </si>
  <si>
    <t>OUTRAS D</t>
  </si>
  <si>
    <t>TOTAL</t>
  </si>
  <si>
    <t>DATA</t>
  </si>
  <si>
    <t>ORIGEM</t>
  </si>
  <si>
    <t>DESCRIÇÃO</t>
  </si>
  <si>
    <t>VALOR</t>
  </si>
  <si>
    <t>DETALHES</t>
  </si>
  <si>
    <t>OBSERVAÇÂO</t>
  </si>
  <si>
    <t>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</si>
  <si>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</si>
  <si>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</si>
  <si>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</si>
  <si>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</si>
  <si>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</si>
  <si>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</si>
  <si>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</si>
  <si>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</si>
  <si>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</si>
  <si>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</si>
  <si>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</si>
  <si>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</si>
  <si>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Não edite nada aqui</t>
  </si>
  <si>
    <t xml:space="preserve">ACOMPANHAMENTO MENSAL </t>
  </si>
  <si>
    <t>SOMA SALDO</t>
  </si>
  <si>
    <t>SALDO MÊS</t>
  </si>
  <si>
    <t>FAÇA AQUI SEUS LANÇAMENTOS DIÁRIOS</t>
  </si>
  <si>
    <t>STATUS ATUAL</t>
  </si>
  <si>
    <t>Em dinheiro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</si>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</sst>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9"/>
      <color indexed="81"/>
      <name val="Segoe UI"/>
      <family val="2"/>
    </font>
    <font>
      <u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4" fontId="3" fillId="0" borderId="1" xfId="1" applyFont="1" applyBorder="1"/>
    <xf numFmtId="0" fontId="3" fillId="6" borderId="5" xfId="0" applyFont="1" applyFill="1" applyBorder="1"/>
    <xf numFmtId="44" fontId="0" fillId="6" borderId="6" xfId="1" applyFont="1" applyFill="1" applyBorder="1"/>
    <xf numFmtId="0" fontId="3" fillId="6" borderId="7" xfId="0" applyFont="1" applyFill="1" applyBorder="1"/>
    <xf numFmtId="44" fontId="0" fillId="6" borderId="8" xfId="0" applyNumberFormat="1" applyFill="1" applyBorder="1"/>
    <xf numFmtId="0" fontId="3" fillId="7" borderId="5" xfId="0" applyFont="1" applyFill="1" applyBorder="1"/>
    <xf numFmtId="44" fontId="0" fillId="7" borderId="6" xfId="1" applyFont="1" applyFill="1" applyBorder="1"/>
    <xf numFmtId="0" fontId="3" fillId="7" borderId="7" xfId="0" applyFont="1" applyFill="1" applyBorder="1"/>
    <xf numFmtId="0" fontId="2" fillId="2" borderId="19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44" fontId="0" fillId="0" borderId="20" xfId="1" applyFont="1" applyBorder="1"/>
    <xf numFmtId="44" fontId="0" fillId="0" borderId="22" xfId="0" applyNumberFormat="1" applyBorder="1"/>
    <xf numFmtId="44" fontId="0" fillId="0" borderId="23" xfId="1" applyFont="1" applyBorder="1"/>
    <xf numFmtId="44" fontId="0" fillId="0" borderId="4" xfId="1" applyFont="1" applyBorder="1"/>
    <xf numFmtId="44" fontId="3" fillId="0" borderId="6" xfId="1" applyFont="1" applyBorder="1"/>
    <xf numFmtId="0" fontId="9" fillId="0" borderId="0" xfId="0" applyFont="1"/>
    <xf numFmtId="0" fontId="0" fillId="0" borderId="0" xfId="0" applyFont="1"/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44" fontId="5" fillId="0" borderId="11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7" fillId="2" borderId="2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b/>
        <i val="0"/>
        <color theme="6" tint="-0.24994659260841701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3" xr9:uid="{6E894050-01F1-4CF4-B87A-C894D5FFC832}">
      <tableStyleElement type="wholeTable" dxfId="17"/>
    </tableStyle>
  </tableStyles>
  <colors>
    <mruColors>
      <color rgb="FFFFFF66"/>
      <color rgb="FFFF7C80"/>
      <color rgb="FFFF5050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3" tint="0.499984740745262"/>
            </patternFill>
          </fill>
        </dxf>
        <dxf>
          <fill>
            <patternFill>
              <bgColor theme="4" tint="-0.2499465926084170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Comparação</a:t>
            </a:r>
            <a:r>
              <a:rPr lang="pt-BR" sz="1600" b="1" baseline="0">
                <a:solidFill>
                  <a:schemeClr val="bg1"/>
                </a:solidFill>
              </a:rPr>
              <a:t> de Receitas x Despesas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Receitas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RELATORIO!$C$20:$N$20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RELATORIO!$C$21:$N$21</c:f>
              <c:numCache>
                <c:formatCode>_("R$"* #,##0.00_);_("R$"* \(#,##0.00\);_("R$"* "-"??_);_(@_)</c:formatCode>
                <c:ptCount val="12"/>
                <c:pt idx="0">
                  <c:v>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8-4ADF-89DB-34860263EEA6}"/>
            </c:ext>
          </c:extLst>
        </c:ser>
        <c:ser>
          <c:idx val="1"/>
          <c:order val="1"/>
          <c:tx>
            <c:v>Despesas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RELATORIO!$C$20:$N$20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RELATORIO!$C$22:$N$22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8-4ADF-89DB-34860263E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580783"/>
        <c:axId val="761582223"/>
      </c:lineChart>
      <c:catAx>
        <c:axId val="76158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1582223"/>
        <c:crosses val="autoZero"/>
        <c:auto val="1"/>
        <c:lblAlgn val="ctr"/>
        <c:lblOffset val="100"/>
        <c:noMultiLvlLbl val="0"/>
      </c:catAx>
      <c:valAx>
        <c:axId val="7615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158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0</xdr:row>
      <xdr:rowOff>182880</xdr:rowOff>
    </xdr:from>
    <xdr:to>
      <xdr:col>14</xdr:col>
      <xdr:colOff>144780</xdr:colOff>
      <xdr:row>15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E0A9F4-A8FF-2BCB-FD69-D34A88410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228600</xdr:colOff>
      <xdr:row>4</xdr:row>
      <xdr:rowOff>152400</xdr:rowOff>
    </xdr:from>
    <xdr:to>
      <xdr:col>11</xdr:col>
      <xdr:colOff>297180</xdr:colOff>
      <xdr:row>26</xdr:row>
      <xdr:rowOff>167640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">
              <a:extLst>
                <a:ext uri="{FF2B5EF4-FFF2-40B4-BE49-F238E27FC236}">
                  <a16:creationId xmlns:a16="http://schemas.microsoft.com/office/drawing/2014/main" id="{504FFEBC-E665-3A26-7996-0428466460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0760" y="891540"/>
              <a:ext cx="1828800" cy="4038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5D8C8C1-17BF-4EAF-B321-5281E86EF8D4}" sourceName="MÊS">
  <extLst>
    <x:ext xmlns:x15="http://schemas.microsoft.com/office/spreadsheetml/2010/11/main" uri="{2F2917AC-EB37-4324-AD4E-5DD8C200BD13}">
      <x15:tableSlicerCache tableId="1" column="2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2C2F0F8C-FDF1-4031-96AE-811777430FB5}" cache="SegmentaçãodeDados_MÊS" caption="MÊ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273BF-FE56-4BB6-A33B-8CE1BDFC3036}" name="Tabela1" displayName="Tabela1" ref="B6:I7" totalsRowShown="0" headerRowDxfId="16" dataDxfId="15">
  <autoFilter ref="B6:I7" xr:uid="{3F6273BF-FE56-4BB6-A33B-8CE1BDFC3036}"/>
  <tableColumns count="8">
    <tableColumn id="1" xr3:uid="{2E4A21E5-071E-45D7-A99B-3D0CF04F0184}" name="DATA" dataDxfId="14"/>
    <tableColumn id="2" xr3:uid="{7EFEDC44-F930-4F4C-9F9F-54D6527149B8}" name="MÊS" dataDxfId="13">
      <calculatedColumnFormula>TEXT(B7,"MMM")</calculatedColumnFormula>
    </tableColumn>
    <tableColumn id="3" xr3:uid="{942DACDE-58BE-463C-A2FA-B27FB0DF3251}" name="ANO" dataDxfId="12">
      <calculatedColumnFormula>TEXT(B7,"AAA")</calculatedColumnFormula>
    </tableColumn>
    <tableColumn id="4" xr3:uid="{EF88BE1C-4192-4117-BED8-D485FCB0F071}" name="ORIGEM" dataDxfId="11"/>
    <tableColumn id="5" xr3:uid="{AB7B43A0-F884-442E-B069-9C4AED1E8F14}" name="DESCRIÇÃO" dataDxfId="10"/>
    <tableColumn id="6" xr3:uid="{8001A956-FFFD-4737-BF39-A8ED50F06369}" name="VALOR" dataDxfId="9" dataCellStyle="Moeda"/>
    <tableColumn id="7" xr3:uid="{C22B339D-8C2E-45FD-8DCD-AC4DAF66FB52}" name="DETALHES" dataDxfId="8"/>
    <tableColumn id="8" xr3:uid="{703F3FD0-F36E-4152-8AC5-F822478CC8CB}" name="OBSERVAÇÂO" dataDxfId="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3965-6B2B-4DA9-9140-B1AD5591C6C2}">
  <dimension ref="B1:P24"/>
  <sheetViews>
    <sheetView showGridLines="0" zoomScaleNormal="100" workbookViewId="0">
      <selection activeCell="Q8" sqref="Q8"/>
    </sheetView>
  </sheetViews>
  <sheetFormatPr defaultRowHeight="14.4" x14ac:dyDescent="0.3"/>
  <cols>
    <col min="2" max="2" width="12" bestFit="1" customWidth="1"/>
    <col min="3" max="14" width="11.88671875" bestFit="1" customWidth="1"/>
  </cols>
  <sheetData>
    <row r="1" spans="2:9" ht="15" thickBot="1" x14ac:dyDescent="0.35"/>
    <row r="2" spans="2:9" ht="14.4" customHeight="1" x14ac:dyDescent="0.3">
      <c r="B2" s="5" t="s">
        <v>3</v>
      </c>
      <c r="C2" s="6" t="s">
        <v>20</v>
      </c>
      <c r="E2" s="49" t="s">
        <v>32</v>
      </c>
      <c r="F2" s="49"/>
    </row>
    <row r="3" spans="2:9" ht="15" customHeight="1" thickBot="1" x14ac:dyDescent="0.35">
      <c r="B3" s="7" t="s">
        <v>4</v>
      </c>
      <c r="C3" s="8">
        <v>2026</v>
      </c>
      <c r="E3" s="49"/>
      <c r="F3" s="49"/>
    </row>
    <row r="4" spans="2:9" ht="15" thickBot="1" x14ac:dyDescent="0.35"/>
    <row r="5" spans="2:9" x14ac:dyDescent="0.3">
      <c r="B5" s="31" t="s">
        <v>5</v>
      </c>
      <c r="C5" s="32"/>
      <c r="E5" s="33" t="s">
        <v>7</v>
      </c>
      <c r="F5" s="34"/>
    </row>
    <row r="6" spans="2:9" x14ac:dyDescent="0.3">
      <c r="B6" s="15" t="s">
        <v>2</v>
      </c>
      <c r="C6" s="16">
        <f>SUMIFS('REGISTROS DIARIOS'!G:G,'REGISTROS DIARIOS'!C:C,RELATORIO!$C$2,'REGISTROS DIARIOS'!F:F,RELATORIO!$B$6,'REGISTROS DIARIOS'!E:E,RELATORIO!$B$5)</f>
        <v>1500</v>
      </c>
      <c r="E6" s="19" t="s">
        <v>8</v>
      </c>
      <c r="F6" s="20">
        <f>SUMIFS('REGISTROS DIARIOS'!$G:$G,'REGISTROS DIARIOS'!C:C,RELATORIO!$C$2,'REGISTROS DIARIOS'!E:E,RELATORIO!$E$5,'REGISTROS DIARIOS'!F:F,RELATORIO!$E$6)</f>
        <v>0</v>
      </c>
    </row>
    <row r="7" spans="2:9" x14ac:dyDescent="0.3">
      <c r="B7" s="15" t="s">
        <v>6</v>
      </c>
      <c r="C7" s="16">
        <f>SUMIFS('REGISTROS DIARIOS'!G:G,'REGISTROS DIARIOS'!C:C,RELATORIO!C2,'REGISTROS DIARIOS'!F:F,RELATORIO!$B$7,'REGISTROS DIARIOS'!E:E,RELATORIO!$B$5)</f>
        <v>0</v>
      </c>
      <c r="E7" s="19" t="s">
        <v>9</v>
      </c>
      <c r="F7" s="20">
        <f>SUMIFS('REGISTROS DIARIOS'!$G:$G,'REGISTROS DIARIOS'!$C:$C,RELATORIO!$C$2,'REGISTROS DIARIOS'!$E:$E,"DESPESAS",'REGISTROS DIARIOS'!$F:$F,RELATORIO!$E7)</f>
        <v>0</v>
      </c>
    </row>
    <row r="8" spans="2:9" x14ac:dyDescent="0.3">
      <c r="B8" s="15" t="s">
        <v>10</v>
      </c>
      <c r="C8" s="16">
        <f>SUMIFS('REGISTROS DIARIOS'!G:G,'REGISTROS DIARIOS'!C:C,RELATORIO!$C$2,'REGISTROS DIARIOS'!F:F,RELATORIO!$B$8,'REGISTROS DIARIOS'!E:E,RELATORIO!$B$5)</f>
        <v>0</v>
      </c>
      <c r="E8" s="19" t="s">
        <v>11</v>
      </c>
      <c r="F8" s="20">
        <f>SUMIFS('REGISTROS DIARIOS'!$G:$G,'REGISTROS DIARIOS'!$C:$C,RELATORIO!$C$2,'REGISTROS DIARIOS'!$E:$E,"DESPESAS",'REGISTROS DIARIOS'!$F:$F,RELATORIO!$E8)</f>
        <v>0</v>
      </c>
    </row>
    <row r="9" spans="2:9" ht="15" thickBot="1" x14ac:dyDescent="0.35">
      <c r="B9" s="17" t="s">
        <v>12</v>
      </c>
      <c r="C9" s="18">
        <f>SUM(C6:C8)</f>
        <v>1500</v>
      </c>
      <c r="E9" s="21" t="s">
        <v>12</v>
      </c>
      <c r="F9" s="20">
        <f>SUM(F6:F8)</f>
        <v>0</v>
      </c>
    </row>
    <row r="11" spans="2:9" ht="15" thickBot="1" x14ac:dyDescent="0.35"/>
    <row r="12" spans="2:9" ht="14.4" customHeight="1" x14ac:dyDescent="0.3">
      <c r="B12" s="41" t="s">
        <v>37</v>
      </c>
      <c r="C12" s="42"/>
      <c r="D12" s="45">
        <f>$C$9-$F$9</f>
        <v>1500</v>
      </c>
      <c r="E12" s="46"/>
    </row>
    <row r="13" spans="2:9" ht="15" customHeight="1" thickBot="1" x14ac:dyDescent="0.35">
      <c r="B13" s="43"/>
      <c r="C13" s="44"/>
      <c r="D13" s="47"/>
      <c r="E13" s="48"/>
      <c r="I13" s="29"/>
    </row>
    <row r="17" spans="2:16" ht="15" thickBot="1" x14ac:dyDescent="0.35"/>
    <row r="18" spans="2:16" x14ac:dyDescent="0.3">
      <c r="D18" s="35" t="s">
        <v>33</v>
      </c>
      <c r="E18" s="36"/>
      <c r="F18" s="36"/>
      <c r="G18" s="36"/>
      <c r="H18" s="36"/>
      <c r="I18" s="36"/>
      <c r="J18" s="36"/>
      <c r="K18" s="36"/>
      <c r="L18" s="36"/>
      <c r="M18" s="37"/>
      <c r="P18" s="30"/>
    </row>
    <row r="19" spans="2:16" ht="15" thickBot="1" x14ac:dyDescent="0.35">
      <c r="D19" s="38"/>
      <c r="E19" s="39"/>
      <c r="F19" s="39"/>
      <c r="G19" s="39"/>
      <c r="H19" s="39"/>
      <c r="I19" s="39"/>
      <c r="J19" s="39"/>
      <c r="K19" s="39"/>
      <c r="L19" s="39"/>
      <c r="M19" s="40"/>
    </row>
    <row r="20" spans="2:16" ht="15" thickBot="1" x14ac:dyDescent="0.35">
      <c r="C20" s="11" t="s">
        <v>20</v>
      </c>
      <c r="D20" s="12" t="s">
        <v>21</v>
      </c>
      <c r="E20" s="12" t="s">
        <v>22</v>
      </c>
      <c r="F20" s="12" t="s">
        <v>23</v>
      </c>
      <c r="G20" s="12" t="s">
        <v>24</v>
      </c>
      <c r="H20" s="12" t="s">
        <v>25</v>
      </c>
      <c r="I20" s="12" t="s">
        <v>26</v>
      </c>
      <c r="J20" s="12" t="s">
        <v>27</v>
      </c>
      <c r="K20" s="12" t="s">
        <v>28</v>
      </c>
      <c r="L20" s="12" t="s">
        <v>29</v>
      </c>
      <c r="M20" s="12" t="s">
        <v>30</v>
      </c>
      <c r="N20" s="13" t="s">
        <v>31</v>
      </c>
    </row>
    <row r="21" spans="2:16" ht="15" thickBot="1" x14ac:dyDescent="0.35">
      <c r="B21" s="9" t="s">
        <v>5</v>
      </c>
      <c r="C21" s="26">
        <f>SUMIFS('REGISTROS DIARIOS'!$G:$G,'REGISTROS DIARIOS'!$C:$C,RELATORIO!C$20,'REGISTROS DIARIOS'!$D:$D,RELATORIO!$C$3,'REGISTROS DIARIOS'!$E:$E,RELATORIO!$B21)</f>
        <v>1500</v>
      </c>
      <c r="D21" s="26">
        <f>SUMIFS('REGISTROS DIARIOS'!$G:$G,'REGISTROS DIARIOS'!$C:$C,RELATORIO!D$20,'REGISTROS DIARIOS'!$D:$D,RELATORIO!$C$3,'REGISTROS DIARIOS'!$E:$E,RELATORIO!$B21)</f>
        <v>0</v>
      </c>
      <c r="E21" s="26">
        <f>SUMIFS('REGISTROS DIARIOS'!$G:$G,'REGISTROS DIARIOS'!$C:$C,RELATORIO!E$20,'REGISTROS DIARIOS'!$D:$D,RELATORIO!$C$3,'REGISTROS DIARIOS'!$E:$E,RELATORIO!$B21)</f>
        <v>0</v>
      </c>
      <c r="F21" s="26">
        <f>SUMIFS('REGISTROS DIARIOS'!$G:$G,'REGISTROS DIARIOS'!$C:$C,RELATORIO!F$20,'REGISTROS DIARIOS'!$D:$D,RELATORIO!$C$3,'REGISTROS DIARIOS'!$E:$E,RELATORIO!$B21)</f>
        <v>0</v>
      </c>
      <c r="G21" s="26">
        <f>SUMIFS('REGISTROS DIARIOS'!$G:$G,'REGISTROS DIARIOS'!$C:$C,RELATORIO!G$20,'REGISTROS DIARIOS'!$D:$D,RELATORIO!$C$3,'REGISTROS DIARIOS'!$E:$E,RELATORIO!$B21)</f>
        <v>0</v>
      </c>
      <c r="H21" s="26">
        <f>SUMIFS('REGISTROS DIARIOS'!$G:$G,'REGISTROS DIARIOS'!$C:$C,RELATORIO!H$20,'REGISTROS DIARIOS'!$D:$D,RELATORIO!$C$3,'REGISTROS DIARIOS'!$E:$E,RELATORIO!$B21)</f>
        <v>0</v>
      </c>
      <c r="I21" s="26">
        <f>SUMIFS('REGISTROS DIARIOS'!$G:$G,'REGISTROS DIARIOS'!$C:$C,RELATORIO!I$20,'REGISTROS DIARIOS'!$D:$D,RELATORIO!$C$3,'REGISTROS DIARIOS'!$E:$E,RELATORIO!$B21)</f>
        <v>0</v>
      </c>
      <c r="J21" s="26">
        <f>SUMIFS('REGISTROS DIARIOS'!$G:$G,'REGISTROS DIARIOS'!$C:$C,RELATORIO!J$20,'REGISTROS DIARIOS'!$D:$D,RELATORIO!$C$3,'REGISTROS DIARIOS'!$E:$E,RELATORIO!$B21)</f>
        <v>0</v>
      </c>
      <c r="K21" s="26">
        <f>SUMIFS('REGISTROS DIARIOS'!$G:$G,'REGISTROS DIARIOS'!$C:$C,RELATORIO!K$20,'REGISTROS DIARIOS'!$D:$D,RELATORIO!$C$3,'REGISTROS DIARIOS'!$E:$E,RELATORIO!$B21)</f>
        <v>0</v>
      </c>
      <c r="L21" s="26">
        <f>SUMIFS('REGISTROS DIARIOS'!$G:$G,'REGISTROS DIARIOS'!$C:$C,RELATORIO!L$20,'REGISTROS DIARIOS'!$D:$D,RELATORIO!$C$3,'REGISTROS DIARIOS'!$E:$E,RELATORIO!$B21)</f>
        <v>0</v>
      </c>
      <c r="M21" s="26">
        <f>SUMIFS('REGISTROS DIARIOS'!$G:$G,'REGISTROS DIARIOS'!$C:$C,RELATORIO!M$20,'REGISTROS DIARIOS'!$D:$D,RELATORIO!$C$3,'REGISTROS DIARIOS'!$E:$E,RELATORIO!$B21)</f>
        <v>0</v>
      </c>
      <c r="N21" s="27">
        <f>SUMIFS('REGISTROS DIARIOS'!$G:$G,'REGISTROS DIARIOS'!$C:$C,RELATORIO!N$20,'REGISTROS DIARIOS'!$D:$D,RELATORIO!$C$3,'REGISTROS DIARIOS'!$E:$E,RELATORIO!$B21)</f>
        <v>0</v>
      </c>
    </row>
    <row r="22" spans="2:16" ht="15" thickBot="1" x14ac:dyDescent="0.35">
      <c r="B22" s="10" t="s">
        <v>7</v>
      </c>
      <c r="C22" s="24">
        <f>SUMIFS('REGISTROS DIARIOS'!$G:$G,'REGISTROS DIARIOS'!$C:$C,RELATORIO!C$20,'REGISTROS DIARIOS'!$D:$D,RELATORIO!$C$3,'REGISTROS DIARIOS'!$E:$E,RELATORIO!$B22)</f>
        <v>0</v>
      </c>
      <c r="D22" s="24">
        <f>SUMIFS('REGISTROS DIARIOS'!$G:$G,'REGISTROS DIARIOS'!$C:$C,RELATORIO!D$20,'REGISTROS DIARIOS'!$D:$D,RELATORIO!$C$3,'REGISTROS DIARIOS'!$E:$E,RELATORIO!$B22)</f>
        <v>0</v>
      </c>
      <c r="E22" s="24">
        <f>SUMIFS('REGISTROS DIARIOS'!$G:$G,'REGISTROS DIARIOS'!$C:$C,RELATORIO!E$20,'REGISTROS DIARIOS'!$D:$D,RELATORIO!$C$3,'REGISTROS DIARIOS'!$E:$E,RELATORIO!$B22)</f>
        <v>0</v>
      </c>
      <c r="F22" s="24">
        <f>SUMIFS('REGISTROS DIARIOS'!$G:$G,'REGISTROS DIARIOS'!$C:$C,RELATORIO!F$20,'REGISTROS DIARIOS'!$D:$D,RELATORIO!$C$3,'REGISTROS DIARIOS'!$E:$E,RELATORIO!$B22)</f>
        <v>0</v>
      </c>
      <c r="G22" s="24">
        <f>SUMIFS('REGISTROS DIARIOS'!$G:$G,'REGISTROS DIARIOS'!$C:$C,RELATORIO!G$20,'REGISTROS DIARIOS'!$D:$D,RELATORIO!$C$3,'REGISTROS DIARIOS'!$E:$E,RELATORIO!$B22)</f>
        <v>0</v>
      </c>
      <c r="H22" s="24">
        <f>SUMIFS('REGISTROS DIARIOS'!$G:$G,'REGISTROS DIARIOS'!$C:$C,RELATORIO!H$20,'REGISTROS DIARIOS'!$D:$D,RELATORIO!$C$3,'REGISTROS DIARIOS'!$E:$E,RELATORIO!$B22)</f>
        <v>0</v>
      </c>
      <c r="I22" s="24">
        <f>SUMIFS('REGISTROS DIARIOS'!$G:$G,'REGISTROS DIARIOS'!$C:$C,RELATORIO!I$20,'REGISTROS DIARIOS'!$D:$D,RELATORIO!$C$3,'REGISTROS DIARIOS'!$E:$E,RELATORIO!$B22)</f>
        <v>0</v>
      </c>
      <c r="J22" s="24">
        <f>SUMIFS('REGISTROS DIARIOS'!$G:$G,'REGISTROS DIARIOS'!$C:$C,RELATORIO!J$20,'REGISTROS DIARIOS'!$D:$D,RELATORIO!$C$3,'REGISTROS DIARIOS'!$E:$E,RELATORIO!$B22)</f>
        <v>0</v>
      </c>
      <c r="K22" s="24">
        <f>SUMIFS('REGISTROS DIARIOS'!$G:$G,'REGISTROS DIARIOS'!$C:$C,RELATORIO!K$20,'REGISTROS DIARIOS'!$D:$D,RELATORIO!$C$3,'REGISTROS DIARIOS'!$E:$E,RELATORIO!$B22)</f>
        <v>0</v>
      </c>
      <c r="L22" s="24">
        <f>SUMIFS('REGISTROS DIARIOS'!$G:$G,'REGISTROS DIARIOS'!$C:$C,RELATORIO!L$20,'REGISTROS DIARIOS'!$D:$D,RELATORIO!$C$3,'REGISTROS DIARIOS'!$E:$E,RELATORIO!$B22)</f>
        <v>0</v>
      </c>
      <c r="M22" s="24">
        <f>SUMIFS('REGISTROS DIARIOS'!$G:$G,'REGISTROS DIARIOS'!$C:$C,RELATORIO!M$20,'REGISTROS DIARIOS'!$D:$D,RELATORIO!$C$3,'REGISTROS DIARIOS'!$E:$E,RELATORIO!$B22)</f>
        <v>0</v>
      </c>
      <c r="N22" s="24">
        <f>SUMIFS('REGISTROS DIARIOS'!$G:$G,'REGISTROS DIARIOS'!$C:$C,RELATORIO!N$20,'REGISTROS DIARIOS'!$D:$D,RELATORIO!$C$3,'REGISTROS DIARIOS'!$E:$E,RELATORIO!$B22)</f>
        <v>0</v>
      </c>
    </row>
    <row r="23" spans="2:16" ht="15" thickBot="1" x14ac:dyDescent="0.35">
      <c r="B23" s="22" t="s">
        <v>35</v>
      </c>
      <c r="C23" s="14">
        <f>C21-C22</f>
        <v>1500</v>
      </c>
      <c r="D23" s="14">
        <f t="shared" ref="D23:M23" si="0">D21-D22</f>
        <v>0</v>
      </c>
      <c r="E23" s="14">
        <f t="shared" si="0"/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28">
        <f>N21-N22</f>
        <v>0</v>
      </c>
    </row>
    <row r="24" spans="2:16" ht="15" thickBot="1" x14ac:dyDescent="0.35">
      <c r="B24" s="23" t="s">
        <v>34</v>
      </c>
      <c r="C24" s="25">
        <f>SUM(C23,B24)</f>
        <v>1500</v>
      </c>
      <c r="D24" s="25">
        <f t="shared" ref="D24:N24" si="1">SUM(D23,C24)</f>
        <v>1500</v>
      </c>
      <c r="E24" s="25">
        <f t="shared" si="1"/>
        <v>1500</v>
      </c>
      <c r="F24" s="25">
        <f t="shared" si="1"/>
        <v>1500</v>
      </c>
      <c r="G24" s="25">
        <f t="shared" si="1"/>
        <v>1500</v>
      </c>
      <c r="H24" s="25">
        <f t="shared" si="1"/>
        <v>1500</v>
      </c>
      <c r="I24" s="25">
        <f t="shared" si="1"/>
        <v>1500</v>
      </c>
      <c r="J24" s="25">
        <f t="shared" si="1"/>
        <v>1500</v>
      </c>
      <c r="K24" s="25">
        <f t="shared" si="1"/>
        <v>1500</v>
      </c>
      <c r="L24" s="25">
        <f t="shared" si="1"/>
        <v>1500</v>
      </c>
      <c r="M24" s="25">
        <f t="shared" si="1"/>
        <v>1500</v>
      </c>
      <c r="N24" s="25">
        <f t="shared" si="1"/>
        <v>1500</v>
      </c>
    </row>
  </sheetData>
  <mergeCells count="6">
    <mergeCell ref="E2:F3"/>
    <mergeCell ref="B5:C5"/>
    <mergeCell ref="E5:F5"/>
    <mergeCell ref="D18:M19"/>
    <mergeCell ref="B12:C13"/>
    <mergeCell ref="D12:E13"/>
  </mergeCells>
  <phoneticPr fontId="4" type="noConversion"/>
  <conditionalFormatting sqref="C23:N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" priority="8" operator="lessThan">
      <formula>0</formula>
    </cfRule>
    <cfRule type="cellIs" dxfId="5" priority="9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542BD-2122-403F-8255-845D8845B16A}">
          <x14:formula1>
            <xm:f>DADOS!F$3:F$14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E474-E4B2-4BD5-AF49-B45DE55EBD2F}">
  <dimension ref="B1:I7"/>
  <sheetViews>
    <sheetView showGridLines="0" tabSelected="1" workbookViewId="0">
      <selection activeCell="I7" sqref="I7"/>
    </sheetView>
  </sheetViews>
  <sheetFormatPr defaultRowHeight="14.4" x14ac:dyDescent="0.3"/>
  <cols>
    <col min="2" max="2" width="16.77734375" bestFit="1" customWidth="1"/>
    <col min="3" max="3" width="14.21875" bestFit="1" customWidth="1"/>
    <col min="4" max="4" width="14.109375" customWidth="1"/>
    <col min="5" max="5" width="17.6640625" customWidth="1"/>
    <col min="6" max="6" width="17.5546875" customWidth="1"/>
    <col min="7" max="7" width="18" customWidth="1"/>
    <col min="8" max="8" width="16.6640625" customWidth="1"/>
    <col min="9" max="9" width="17" bestFit="1" customWidth="1"/>
    <col min="11" max="11" width="16.77734375" bestFit="1" customWidth="1"/>
    <col min="12" max="12" width="14.21875" bestFit="1" customWidth="1"/>
    <col min="14" max="14" width="16.77734375" bestFit="1" customWidth="1"/>
    <col min="15" max="15" width="18.109375" bestFit="1" customWidth="1"/>
    <col min="16" max="16" width="10" bestFit="1" customWidth="1"/>
  </cols>
  <sheetData>
    <row r="1" spans="2:9" ht="15" thickBot="1" x14ac:dyDescent="0.35"/>
    <row r="2" spans="2:9" ht="14.4" customHeight="1" x14ac:dyDescent="0.3">
      <c r="C2" s="50" t="s">
        <v>36</v>
      </c>
      <c r="D2" s="50"/>
      <c r="E2" s="50"/>
      <c r="F2" s="50"/>
      <c r="G2" s="50"/>
      <c r="H2" s="50"/>
    </row>
    <row r="3" spans="2:9" ht="14.4" customHeight="1" thickBot="1" x14ac:dyDescent="0.35">
      <c r="C3" s="51"/>
      <c r="D3" s="51"/>
      <c r="E3" s="51"/>
      <c r="F3" s="51"/>
      <c r="G3" s="51"/>
      <c r="H3" s="51"/>
    </row>
    <row r="6" spans="2:9" x14ac:dyDescent="0.3">
      <c r="B6" s="2" t="s">
        <v>13</v>
      </c>
      <c r="C6" s="2" t="s">
        <v>3</v>
      </c>
      <c r="D6" s="2" t="s">
        <v>4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</row>
    <row r="7" spans="2:9" x14ac:dyDescent="0.3">
      <c r="B7" s="3">
        <v>46023</v>
      </c>
      <c r="C7" s="1" t="str">
        <f>TEXT(B7,"MMM")</f>
        <v>jan</v>
      </c>
      <c r="D7" s="1" t="str">
        <f>TEXT(B7,"AAA")</f>
        <v>2026</v>
      </c>
      <c r="E7" s="1" t="s">
        <v>5</v>
      </c>
      <c r="F7" s="1" t="s">
        <v>2</v>
      </c>
      <c r="G7" s="4">
        <v>1500</v>
      </c>
      <c r="H7" s="1" t="s">
        <v>38</v>
      </c>
      <c r="I7" s="1" t="s">
        <v>39</v>
      </c>
    </row>
  </sheetData>
  <mergeCells count="1">
    <mergeCell ref="C2:H3"/>
  </mergeCells>
  <phoneticPr fontId="4" type="noConversion"/>
  <conditionalFormatting sqref="G7">
    <cfRule type="expression" dxfId="4" priority="1">
      <formula>$E7="DESPESAS"</formula>
    </cfRule>
    <cfRule type="expression" dxfId="3" priority="2">
      <formula>$E7="RECEITAS"</formula>
    </cfRule>
    <cfRule type="expression" dxfId="2" priority="3">
      <formula>$E7="RECEITAS"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BD34C0-83A6-4BE5-BE2E-773E31470DEA}">
          <x14:formula1>
            <xm:f>DADOS!D$3:D$8</xm:f>
          </x14:formula1>
          <xm:sqref>F7</xm:sqref>
        </x14:dataValidation>
        <x14:dataValidation type="list" allowBlank="1" showInputMessage="1" showErrorMessage="1" xr:uid="{4EAC03B2-8B27-4A96-A4DB-E7E0C12BEA29}">
          <x14:formula1>
            <xm:f>DADOS!B$3:B$4</xm:f>
          </x14:formula1>
          <xm:sqref>E7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57FB-086E-403A-B7FA-B0CACDFBEB2F}">
  <dimension ref="B2:F14"/>
  <sheetViews>
    <sheetView workbookViewId="0">
      <selection activeCell="F3" sqref="F3:F14"/>
    </sheetView>
  </sheetViews>
  <sheetFormatPr defaultRowHeight="14.4" x14ac:dyDescent="0.3"/>
  <cols>
    <col min="4" max="4" width="16.5546875" bestFit="1" customWidth="1"/>
  </cols>
  <sheetData>
    <row r="2" spans="2:6" x14ac:dyDescent="0.3">
      <c r="B2" t="s">
        <v>0</v>
      </c>
      <c r="D2" t="s">
        <v>1</v>
      </c>
      <c r="F2" t="s">
        <v>19</v>
      </c>
    </row>
    <row r="3" spans="2:6" x14ac:dyDescent="0.3">
      <c r="B3" t="s">
        <v>5</v>
      </c>
      <c r="D3" t="s">
        <v>2</v>
      </c>
      <c r="F3" t="s">
        <v>20</v>
      </c>
    </row>
    <row r="4" spans="2:6" x14ac:dyDescent="0.3">
      <c r="B4" t="s">
        <v>7</v>
      </c>
      <c r="D4" t="s">
        <v>6</v>
      </c>
      <c r="F4" t="s">
        <v>21</v>
      </c>
    </row>
    <row r="5" spans="2:6" x14ac:dyDescent="0.3">
      <c r="D5" t="s">
        <v>8</v>
      </c>
      <c r="F5" t="s">
        <v>22</v>
      </c>
    </row>
    <row r="6" spans="2:6" x14ac:dyDescent="0.3">
      <c r="D6" t="s">
        <v>9</v>
      </c>
      <c r="F6" t="s">
        <v>23</v>
      </c>
    </row>
    <row r="7" spans="2:6" x14ac:dyDescent="0.3">
      <c r="D7" t="s">
        <v>10</v>
      </c>
      <c r="F7" t="s">
        <v>24</v>
      </c>
    </row>
    <row r="8" spans="2:6" x14ac:dyDescent="0.3">
      <c r="D8" t="s">
        <v>11</v>
      </c>
      <c r="F8" t="s">
        <v>25</v>
      </c>
    </row>
    <row r="9" spans="2:6" x14ac:dyDescent="0.3">
      <c r="F9" t="s">
        <v>26</v>
      </c>
    </row>
    <row r="10" spans="2:6" x14ac:dyDescent="0.3">
      <c r="F10" t="s">
        <v>27</v>
      </c>
    </row>
    <row r="11" spans="2:6" x14ac:dyDescent="0.3">
      <c r="F11" t="s">
        <v>28</v>
      </c>
    </row>
    <row r="12" spans="2:6" x14ac:dyDescent="0.3">
      <c r="F12" t="s">
        <v>29</v>
      </c>
    </row>
    <row r="13" spans="2:6" x14ac:dyDescent="0.3">
      <c r="F13" t="s">
        <v>30</v>
      </c>
    </row>
    <row r="14" spans="2:6" x14ac:dyDescent="0.3">
      <c r="F14" t="s">
        <v>31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</vt:lpstr>
      <vt:lpstr>REGISTROS DIARIOS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Alexey</dc:creator>
  <cp:lastModifiedBy>Yuri Alexey</cp:lastModifiedBy>
  <dcterms:created xsi:type="dcterms:W3CDTF">2026-02-03T12:24:53Z</dcterms:created>
  <dcterms:modified xsi:type="dcterms:W3CDTF">2026-02-03T17:58:03Z</dcterms:modified>
</cp:coreProperties>
</file>